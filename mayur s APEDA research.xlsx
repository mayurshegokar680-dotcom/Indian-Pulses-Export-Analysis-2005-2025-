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66E7B1F-EBC0-4840-9400-746243A1B46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all" sheetId="3" r:id="rId1"/>
    <sheet name="2005-25" sheetId="4" r:id="rId2"/>
    <sheet name="2005-15" sheetId="5" r:id="rId3"/>
    <sheet name="2015-25" sheetId="6" r:id="rId4"/>
    <sheet name="variatio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H5" i="7" l="1"/>
  <c r="H4" i="7"/>
  <c r="H3" i="7"/>
  <c r="G5" i="7"/>
  <c r="G4" i="7"/>
  <c r="G3" i="7"/>
  <c r="F5" i="7"/>
  <c r="F4" i="7"/>
  <c r="F3" i="7"/>
  <c r="E5" i="7"/>
  <c r="E4" i="7"/>
  <c r="E3" i="7"/>
  <c r="D3" i="7"/>
  <c r="D4" i="7"/>
  <c r="D5" i="7"/>
  <c r="C3" i="7"/>
  <c r="C4" i="7"/>
  <c r="C5" i="7"/>
  <c r="B4" i="7"/>
  <c r="B3" i="7"/>
  <c r="C2" i="5"/>
  <c r="C12" i="5" s="1"/>
  <c r="H22" i="6"/>
  <c r="H23" i="6" s="1"/>
  <c r="H21" i="6"/>
  <c r="C14" i="6"/>
  <c r="H23" i="5" l="1"/>
  <c r="H24" i="5" s="1"/>
  <c r="H22" i="5"/>
  <c r="E3" i="6" l="1"/>
  <c r="E4" i="6"/>
  <c r="E5" i="6"/>
  <c r="E6" i="6"/>
  <c r="E7" i="6"/>
  <c r="E8" i="6"/>
  <c r="E9" i="6"/>
  <c r="E10" i="6"/>
  <c r="E11" i="6"/>
  <c r="E2" i="6"/>
  <c r="C16" i="6"/>
  <c r="C13" i="6"/>
  <c r="C15" i="6" s="1"/>
  <c r="C12" i="6"/>
  <c r="E3" i="5"/>
  <c r="E4" i="5"/>
  <c r="E5" i="5"/>
  <c r="E6" i="5"/>
  <c r="E7" i="5"/>
  <c r="E8" i="5"/>
  <c r="E9" i="5"/>
  <c r="E10" i="5"/>
  <c r="E11" i="5"/>
  <c r="C13" i="5"/>
  <c r="H26" i="4"/>
  <c r="H25" i="4"/>
  <c r="H24" i="4"/>
  <c r="C16" i="5" l="1"/>
  <c r="C14" i="5"/>
  <c r="C15" i="5" s="1"/>
  <c r="E2" i="5"/>
  <c r="C17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C26" i="4"/>
  <c r="C2" i="4"/>
  <c r="C22" i="4" s="1"/>
  <c r="C17" i="5" l="1"/>
  <c r="C23" i="4"/>
  <c r="C24" i="4"/>
  <c r="C25" i="4" s="1"/>
  <c r="C27" i="4" s="1"/>
</calcChain>
</file>

<file path=xl/sharedStrings.xml><?xml version="1.0" encoding="utf-8"?>
<sst xmlns="http://schemas.openxmlformats.org/spreadsheetml/2006/main" count="193" uniqueCount="70">
  <si>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</si>
  <si>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</si>
  <si>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</si>
  <si>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</si>
  <si>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</si>
  <si>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</si>
  <si>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</si>
  <si>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</si>
  <si>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</si>
  <si>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</si>
  <si>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</si>
  <si>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</si>
  <si>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</si>
  <si>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</si>
  <si>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</si>
  <si>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</si>
  <si>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</si>
  <si>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</si>
  <si>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</si>
  <si>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</si>
  <si>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Total</t>
  </si>
  <si>
    <t>Pulses</t>
  </si>
  <si>
    <t>YEAR</t>
  </si>
  <si>
    <t>T</t>
  </si>
  <si>
    <t>PULSES (Quantity in MT)</t>
  </si>
  <si>
    <t>Mean</t>
  </si>
  <si>
    <t>SD</t>
  </si>
  <si>
    <t>CV</t>
  </si>
  <si>
    <t>RSQ</t>
  </si>
  <si>
    <t>CUDDY DELLA</t>
  </si>
  <si>
    <t>log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</si>
  <si>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</si>
  <si>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</si>
  <si>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</si>
  <si>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</si>
  <si>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</si>
  <si>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</si>
  <si>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</si>
  <si>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</si>
  <si>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</si>
  <si>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</si>
  <si>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</si>
  <si>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</si>
  <si>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</si>
  <si>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</si>
  <si>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</si>
  <si>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</si>
  <si>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</si>
  <si>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</si>
  <si>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</si>
  <si>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</si>
  <si>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</si>
  <si>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</si>
  <si>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</si>
  <si>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</si>
  <si>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a=</t>
  </si>
  <si>
    <t>antilog of b</t>
  </si>
  <si>
    <t>CGR</t>
  </si>
  <si>
    <t>PULSES (QUANTITY IN MT)</t>
  </si>
  <si>
    <t xml:space="preserve">a= </t>
  </si>
  <si>
    <t>Year</t>
  </si>
  <si>
    <t xml:space="preserve">Total </t>
  </si>
  <si>
    <t>Cuddy della</t>
  </si>
  <si>
    <t>Variation in export of Pulses from India</t>
  </si>
  <si>
    <t>2005-2015</t>
  </si>
  <si>
    <t>2015-2025</t>
  </si>
  <si>
    <t>2005-2025</t>
  </si>
  <si>
    <t>19.50***</t>
  </si>
  <si>
    <t>6.56***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</si>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</sst>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4" fontId="0" fillId="0" borderId="0" xfId="0" applyNumberFormat="1"/>
    <xf numFmtId="2" fontId="0" fillId="0" borderId="0" xfId="0" applyNumberFormat="1"/>
    <xf numFmtId="4" fontId="0" fillId="0" borderId="1" xfId="0" applyNumberForma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wrapText="1"/>
    </xf>
    <xf numFmtId="2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5" fillId="0" borderId="1" xfId="0" applyFont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4" fontId="3" fillId="0" borderId="3" xfId="0" applyNumberFormat="1" applyFont="1" applyBorder="1" applyAlignment="1">
      <alignment horizontal="right" vertical="center" wrapText="1"/>
    </xf>
    <xf numFmtId="4" fontId="3" fillId="0" borderId="3" xfId="0" applyNumberFormat="1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E23" sqref="E23"/>
    </sheetView>
  </sheetViews>
  <sheetFormatPr defaultRowHeight="14.4" x14ac:dyDescent="0.3"/>
  <cols>
    <col min="2" max="2" width="9.88671875" bestFit="1" customWidth="1"/>
  </cols>
  <sheetData>
    <row r="1" spans="1:2" x14ac:dyDescent="0.3">
      <c r="B1" s="2" t="s">
        <v>21</v>
      </c>
    </row>
    <row r="2" spans="1:2" x14ac:dyDescent="0.3">
      <c r="A2" s="1" t="s">
        <v>0</v>
      </c>
      <c r="B2" s="3">
        <v>451626.06</v>
      </c>
    </row>
    <row r="3" spans="1:2" x14ac:dyDescent="0.3">
      <c r="A3" s="1" t="s">
        <v>1</v>
      </c>
      <c r="B3" s="3">
        <v>255084.47</v>
      </c>
    </row>
    <row r="4" spans="1:2" x14ac:dyDescent="0.3">
      <c r="A4" s="1" t="s">
        <v>2</v>
      </c>
      <c r="B4" s="3">
        <v>170614.39</v>
      </c>
    </row>
    <row r="5" spans="1:2" x14ac:dyDescent="0.3">
      <c r="A5" s="1" t="s">
        <v>3</v>
      </c>
      <c r="B5" s="3">
        <v>136880.07999999999</v>
      </c>
    </row>
    <row r="6" spans="1:2" x14ac:dyDescent="0.3">
      <c r="A6" s="1" t="s">
        <v>4</v>
      </c>
      <c r="B6" s="3">
        <v>100130.94</v>
      </c>
    </row>
    <row r="7" spans="1:2" x14ac:dyDescent="0.3">
      <c r="A7" s="1" t="s">
        <v>5</v>
      </c>
      <c r="B7" s="3">
        <v>209010.49</v>
      </c>
    </row>
    <row r="8" spans="1:2" x14ac:dyDescent="0.3">
      <c r="A8" s="1" t="s">
        <v>6</v>
      </c>
      <c r="B8" s="3">
        <v>174625.19</v>
      </c>
    </row>
    <row r="9" spans="1:2" x14ac:dyDescent="0.3">
      <c r="A9" s="1" t="s">
        <v>7</v>
      </c>
      <c r="B9" s="3">
        <v>202751.35999999999</v>
      </c>
    </row>
    <row r="10" spans="1:2" x14ac:dyDescent="0.3">
      <c r="A10" s="1" t="s">
        <v>8</v>
      </c>
      <c r="B10" s="3">
        <v>345276.73</v>
      </c>
    </row>
    <row r="11" spans="1:2" x14ac:dyDescent="0.3">
      <c r="A11" s="1" t="s">
        <v>9</v>
      </c>
      <c r="B11" s="3">
        <v>222262.07</v>
      </c>
    </row>
    <row r="12" spans="1:2" x14ac:dyDescent="0.3">
      <c r="A12" s="1" t="s">
        <v>10</v>
      </c>
      <c r="B12" s="3">
        <v>256051.91</v>
      </c>
    </row>
    <row r="13" spans="1:2" x14ac:dyDescent="0.3">
      <c r="A13" s="1" t="s">
        <v>11</v>
      </c>
      <c r="B13" s="3">
        <v>136968.03</v>
      </c>
    </row>
    <row r="14" spans="1:2" x14ac:dyDescent="0.3">
      <c r="A14" s="1" t="s">
        <v>12</v>
      </c>
      <c r="B14" s="3">
        <v>180193.86</v>
      </c>
    </row>
    <row r="15" spans="1:2" x14ac:dyDescent="0.3">
      <c r="A15" s="1" t="s">
        <v>13</v>
      </c>
      <c r="B15" s="3">
        <v>289617.95</v>
      </c>
    </row>
    <row r="16" spans="1:2" x14ac:dyDescent="0.3">
      <c r="A16" s="1" t="s">
        <v>14</v>
      </c>
      <c r="B16" s="3">
        <v>235699.03</v>
      </c>
    </row>
    <row r="17" spans="1:2" x14ac:dyDescent="0.3">
      <c r="A17" s="1" t="s">
        <v>15</v>
      </c>
      <c r="B17" s="3">
        <v>296169.8</v>
      </c>
    </row>
    <row r="18" spans="1:2" x14ac:dyDescent="0.3">
      <c r="A18" s="1" t="s">
        <v>16</v>
      </c>
      <c r="B18" s="3">
        <v>410375.86</v>
      </c>
    </row>
    <row r="19" spans="1:2" x14ac:dyDescent="0.3">
      <c r="A19" s="1" t="s">
        <v>17</v>
      </c>
      <c r="B19" s="3">
        <v>775024.48</v>
      </c>
    </row>
    <row r="20" spans="1:2" x14ac:dyDescent="0.3">
      <c r="A20" s="1" t="s">
        <v>18</v>
      </c>
      <c r="B20" s="3">
        <v>626653.80000000005</v>
      </c>
    </row>
    <row r="21" spans="1:2" x14ac:dyDescent="0.3">
      <c r="A21" s="1" t="s">
        <v>19</v>
      </c>
      <c r="B21" s="3">
        <v>793291.42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topLeftCell="A7" workbookViewId="0">
      <selection activeCell="C27" sqref="C27"/>
    </sheetView>
  </sheetViews>
  <sheetFormatPr defaultRowHeight="14.4" x14ac:dyDescent="0.3"/>
  <cols>
    <col min="3" max="3" width="19.88671875" customWidth="1"/>
  </cols>
  <sheetData>
    <row r="1" spans="1:15" x14ac:dyDescent="0.3">
      <c r="A1" s="5" t="s">
        <v>22</v>
      </c>
      <c r="B1" s="5" t="s">
        <v>23</v>
      </c>
      <c r="C1" s="5" t="s">
        <v>24</v>
      </c>
      <c r="E1" s="5" t="s">
        <v>30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0</v>
      </c>
      <c r="B2" s="5">
        <v>1</v>
      </c>
      <c r="C2" s="6">
        <f>AVERAGE(overall!B2:B4)</f>
        <v>292441.64</v>
      </c>
      <c r="E2" s="5">
        <f>LOG(C2)</f>
        <v>5.4660392107437472</v>
      </c>
      <c r="G2" s="5" t="s">
        <v>31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1" t="s">
        <v>1</v>
      </c>
      <c r="B3" s="5">
        <v>2</v>
      </c>
      <c r="C3" s="4">
        <v>255084.47</v>
      </c>
      <c r="E3" s="5">
        <f t="shared" ref="E3:E21" si="0">LOG(C3)</f>
        <v>5.4066840187877157</v>
      </c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1" t="s">
        <v>2</v>
      </c>
      <c r="B4" s="5">
        <v>3</v>
      </c>
      <c r="C4" s="4">
        <v>170614.39</v>
      </c>
      <c r="E4" s="5">
        <f t="shared" si="0"/>
        <v>5.2320156577461514</v>
      </c>
      <c r="G4" s="16" t="s">
        <v>32</v>
      </c>
      <c r="H4" s="16"/>
      <c r="I4" s="5"/>
      <c r="J4" s="5"/>
      <c r="K4" s="5"/>
      <c r="L4" s="5"/>
      <c r="M4" s="5"/>
      <c r="N4" s="5"/>
      <c r="O4" s="5"/>
    </row>
    <row r="5" spans="1:15" x14ac:dyDescent="0.3">
      <c r="A5" s="1" t="s">
        <v>3</v>
      </c>
      <c r="B5" s="5">
        <v>4</v>
      </c>
      <c r="C5" s="4">
        <v>136880.07999999999</v>
      </c>
      <c r="E5" s="5">
        <f t="shared" si="0"/>
        <v>5.1363402503579154</v>
      </c>
      <c r="G5" s="5" t="s">
        <v>33</v>
      </c>
      <c r="H5" s="5">
        <v>0.67545508531671494</v>
      </c>
      <c r="I5" s="5"/>
      <c r="J5" s="5"/>
      <c r="K5" s="5"/>
      <c r="L5" s="5"/>
      <c r="M5" s="5"/>
      <c r="N5" s="5"/>
      <c r="O5" s="5"/>
    </row>
    <row r="6" spans="1:15" x14ac:dyDescent="0.3">
      <c r="A6" s="1" t="s">
        <v>4</v>
      </c>
      <c r="B6" s="5">
        <v>5</v>
      </c>
      <c r="C6" s="4">
        <v>100130.94</v>
      </c>
      <c r="E6" s="5">
        <f t="shared" si="0"/>
        <v>5.0005682932141795</v>
      </c>
      <c r="G6" s="5" t="s">
        <v>34</v>
      </c>
      <c r="H6" s="5">
        <v>0.45623957228021073</v>
      </c>
      <c r="I6" s="5"/>
      <c r="J6" s="5"/>
      <c r="K6" s="5"/>
      <c r="L6" s="5"/>
      <c r="M6" s="5"/>
      <c r="N6" s="5"/>
      <c r="O6" s="5"/>
    </row>
    <row r="7" spans="1:15" x14ac:dyDescent="0.3">
      <c r="A7" s="1" t="s">
        <v>5</v>
      </c>
      <c r="B7" s="5">
        <v>6</v>
      </c>
      <c r="C7" s="4">
        <v>209010.49</v>
      </c>
      <c r="E7" s="5">
        <f t="shared" si="0"/>
        <v>5.3201680834066964</v>
      </c>
      <c r="G7" s="5" t="s">
        <v>35</v>
      </c>
      <c r="H7" s="5">
        <v>0.42603065962911135</v>
      </c>
      <c r="I7" s="5"/>
      <c r="J7" s="5"/>
      <c r="K7" s="5"/>
      <c r="L7" s="5"/>
      <c r="M7" s="5"/>
      <c r="N7" s="5"/>
      <c r="O7" s="5"/>
    </row>
    <row r="8" spans="1:15" x14ac:dyDescent="0.3">
      <c r="A8" s="1" t="s">
        <v>6</v>
      </c>
      <c r="B8" s="5">
        <v>7</v>
      </c>
      <c r="C8" s="4">
        <v>174625.19</v>
      </c>
      <c r="E8" s="5">
        <f t="shared" si="0"/>
        <v>5.2421068916542737</v>
      </c>
      <c r="G8" s="5" t="s">
        <v>36</v>
      </c>
      <c r="H8" s="5">
        <v>0.18319262009463205</v>
      </c>
      <c r="I8" s="5"/>
      <c r="J8" s="5"/>
      <c r="K8" s="5"/>
      <c r="L8" s="5"/>
      <c r="M8" s="5"/>
      <c r="N8" s="5"/>
      <c r="O8" s="5"/>
    </row>
    <row r="9" spans="1:15" x14ac:dyDescent="0.3">
      <c r="A9" s="1" t="s">
        <v>7</v>
      </c>
      <c r="B9" s="5">
        <v>8</v>
      </c>
      <c r="C9" s="4">
        <v>202751.35999999999</v>
      </c>
      <c r="E9" s="5">
        <f t="shared" si="0"/>
        <v>5.3069637760201331</v>
      </c>
      <c r="G9" s="5" t="s">
        <v>37</v>
      </c>
      <c r="H9" s="5">
        <v>20</v>
      </c>
      <c r="I9" s="5"/>
      <c r="J9" s="5"/>
      <c r="K9" s="5"/>
      <c r="L9" s="5"/>
      <c r="M9" s="5"/>
      <c r="N9" s="5"/>
      <c r="O9" s="5"/>
    </row>
    <row r="10" spans="1:15" x14ac:dyDescent="0.3">
      <c r="A10" s="1" t="s">
        <v>8</v>
      </c>
      <c r="B10" s="5">
        <v>9</v>
      </c>
      <c r="C10" s="4">
        <v>345276.73</v>
      </c>
      <c r="E10" s="5">
        <f t="shared" si="0"/>
        <v>5.5381673099650479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1" t="s">
        <v>9</v>
      </c>
      <c r="B11" s="5">
        <v>10</v>
      </c>
      <c r="C11" s="4">
        <v>222262.07</v>
      </c>
      <c r="E11" s="5">
        <f t="shared" si="0"/>
        <v>5.3468653547583891</v>
      </c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x14ac:dyDescent="0.3">
      <c r="A12" s="1" t="s">
        <v>10</v>
      </c>
      <c r="B12" s="5">
        <v>11</v>
      </c>
      <c r="C12" s="4">
        <v>256051.91</v>
      </c>
      <c r="E12" s="5">
        <f t="shared" si="0"/>
        <v>5.4083280197695816</v>
      </c>
      <c r="G12" s="17"/>
      <c r="H12" s="17" t="s">
        <v>42</v>
      </c>
      <c r="I12" s="17" t="s">
        <v>43</v>
      </c>
      <c r="J12" s="17" t="s">
        <v>44</v>
      </c>
      <c r="K12" s="17" t="s">
        <v>45</v>
      </c>
      <c r="L12" s="17" t="s">
        <v>46</v>
      </c>
      <c r="M12" s="5"/>
      <c r="N12" s="5"/>
      <c r="O12" s="5"/>
    </row>
    <row r="13" spans="1:15" x14ac:dyDescent="0.3">
      <c r="A13" s="1" t="s">
        <v>11</v>
      </c>
      <c r="B13" s="5">
        <v>12</v>
      </c>
      <c r="C13" s="4">
        <v>136968.03</v>
      </c>
      <c r="E13" s="5">
        <f t="shared" si="0"/>
        <v>5.1366192093837535</v>
      </c>
      <c r="G13" s="5" t="s">
        <v>39</v>
      </c>
      <c r="H13" s="5">
        <v>1</v>
      </c>
      <c r="I13" s="5">
        <v>0.50684341252093679</v>
      </c>
      <c r="J13" s="5">
        <v>0.50684341252093679</v>
      </c>
      <c r="K13" s="5">
        <v>15.102813449447561</v>
      </c>
      <c r="L13" s="5">
        <v>1.0821088588493664E-3</v>
      </c>
      <c r="M13" s="5"/>
      <c r="N13" s="5"/>
      <c r="O13" s="5"/>
    </row>
    <row r="14" spans="1:15" x14ac:dyDescent="0.3">
      <c r="A14" s="1" t="s">
        <v>12</v>
      </c>
      <c r="B14" s="5">
        <v>13</v>
      </c>
      <c r="C14" s="4">
        <v>180193.86</v>
      </c>
      <c r="E14" s="5">
        <f t="shared" si="0"/>
        <v>5.255739988565634</v>
      </c>
      <c r="G14" s="5" t="s">
        <v>40</v>
      </c>
      <c r="H14" s="5">
        <v>18</v>
      </c>
      <c r="I14" s="5">
        <v>0.60407164902845134</v>
      </c>
      <c r="J14" s="5">
        <v>3.3559536057136186E-2</v>
      </c>
      <c r="K14" s="5"/>
      <c r="L14" s="5"/>
      <c r="M14" s="5"/>
      <c r="N14" s="5"/>
      <c r="O14" s="5"/>
    </row>
    <row r="15" spans="1:15" x14ac:dyDescent="0.3">
      <c r="A15" s="1" t="s">
        <v>13</v>
      </c>
      <c r="B15" s="5">
        <v>14</v>
      </c>
      <c r="C15" s="4">
        <v>289617.95</v>
      </c>
      <c r="E15" s="5">
        <f t="shared" si="0"/>
        <v>5.4618254751506861</v>
      </c>
      <c r="G15" s="5" t="s">
        <v>20</v>
      </c>
      <c r="H15" s="5">
        <v>19</v>
      </c>
      <c r="I15" s="5">
        <v>1.1109150615493881</v>
      </c>
      <c r="J15" s="5"/>
      <c r="K15" s="5"/>
      <c r="L15" s="5"/>
      <c r="M15" s="5"/>
      <c r="N15" s="5"/>
      <c r="O15" s="5"/>
    </row>
    <row r="16" spans="1:15" x14ac:dyDescent="0.3">
      <c r="A16" s="1" t="s">
        <v>14</v>
      </c>
      <c r="B16" s="5">
        <v>15</v>
      </c>
      <c r="C16" s="4">
        <v>235699.03</v>
      </c>
      <c r="E16" s="5">
        <f t="shared" si="0"/>
        <v>5.3723577952247297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1" t="s">
        <v>15</v>
      </c>
      <c r="B17" s="5">
        <v>16</v>
      </c>
      <c r="C17" s="4">
        <v>296169.8</v>
      </c>
      <c r="E17" s="5">
        <f t="shared" si="0"/>
        <v>5.4715407720716689</v>
      </c>
      <c r="G17" s="17"/>
      <c r="H17" s="17" t="s">
        <v>47</v>
      </c>
      <c r="I17" s="17" t="s">
        <v>36</v>
      </c>
      <c r="J17" s="17" t="s">
        <v>48</v>
      </c>
      <c r="K17" s="17" t="s">
        <v>49</v>
      </c>
      <c r="L17" s="17" t="s">
        <v>50</v>
      </c>
      <c r="M17" s="17" t="s">
        <v>51</v>
      </c>
      <c r="N17" s="17" t="s">
        <v>52</v>
      </c>
      <c r="O17" s="17" t="s">
        <v>53</v>
      </c>
    </row>
    <row r="18" spans="1:15" x14ac:dyDescent="0.3">
      <c r="A18" s="1" t="s">
        <v>16</v>
      </c>
      <c r="B18" s="5">
        <v>17</v>
      </c>
      <c r="C18" s="4">
        <v>410375.86</v>
      </c>
      <c r="E18" s="5">
        <f t="shared" si="0"/>
        <v>5.6131818058631673</v>
      </c>
      <c r="G18" s="5" t="s">
        <v>41</v>
      </c>
      <c r="H18" s="5">
        <v>5.1251863060799012</v>
      </c>
      <c r="I18" s="5">
        <v>8.5098734554960934E-2</v>
      </c>
      <c r="J18" s="5">
        <v>60.226351577176565</v>
      </c>
      <c r="K18" s="5">
        <v>3.2448016598609551E-22</v>
      </c>
      <c r="L18" s="5">
        <v>4.9464004990567618</v>
      </c>
      <c r="M18" s="5">
        <v>5.3039721131030406</v>
      </c>
      <c r="N18" s="5">
        <v>4.9464004990567618</v>
      </c>
      <c r="O18" s="5">
        <v>5.3039721131030406</v>
      </c>
    </row>
    <row r="19" spans="1:15" x14ac:dyDescent="0.3">
      <c r="A19" s="1" t="s">
        <v>17</v>
      </c>
      <c r="B19" s="5">
        <v>18</v>
      </c>
      <c r="C19" s="4">
        <v>775024.48</v>
      </c>
      <c r="E19" s="5">
        <f t="shared" si="0"/>
        <v>5.8893154203914859</v>
      </c>
      <c r="G19" s="5" t="s">
        <v>54</v>
      </c>
      <c r="H19" s="5">
        <v>2.7607436410218639E-2</v>
      </c>
      <c r="I19" s="5">
        <v>7.1039051060027541E-3</v>
      </c>
      <c r="J19" s="5">
        <v>3.8862338387502575</v>
      </c>
      <c r="K19" s="5">
        <v>1.0821088588493664E-3</v>
      </c>
      <c r="L19" s="5">
        <v>1.2682685601236608E-2</v>
      </c>
      <c r="M19" s="5">
        <v>4.2532187219200671E-2</v>
      </c>
      <c r="N19" s="5">
        <v>1.2682685601236608E-2</v>
      </c>
      <c r="O19" s="5">
        <v>4.2532187219200671E-2</v>
      </c>
    </row>
    <row r="20" spans="1:15" x14ac:dyDescent="0.3">
      <c r="A20" s="1" t="s">
        <v>18</v>
      </c>
      <c r="B20" s="5">
        <v>19</v>
      </c>
      <c r="C20" s="4">
        <v>626653.80000000005</v>
      </c>
      <c r="E20" s="5">
        <f t="shared" si="0"/>
        <v>5.7970276775551346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1" t="s">
        <v>19</v>
      </c>
      <c r="B21" s="5">
        <v>20</v>
      </c>
      <c r="C21" s="3">
        <v>793291.42</v>
      </c>
      <c r="E21" s="5">
        <f t="shared" si="0"/>
        <v>5.8994327571138525</v>
      </c>
      <c r="G21" s="5"/>
      <c r="H21" s="5"/>
      <c r="I21" s="5"/>
      <c r="J21" s="5"/>
      <c r="K21" s="5"/>
      <c r="L21" s="5"/>
      <c r="M21" s="5"/>
      <c r="N21" s="5"/>
      <c r="O21" s="5"/>
    </row>
    <row r="22" spans="1:15" ht="15.6" x14ac:dyDescent="0.3">
      <c r="A22" s="24" t="s">
        <v>20</v>
      </c>
      <c r="B22" s="24"/>
      <c r="C22" s="7">
        <f>SUM(C2:C21)</f>
        <v>6109123.4999999991</v>
      </c>
      <c r="G22" s="5"/>
      <c r="H22" s="5"/>
      <c r="I22" s="5"/>
      <c r="J22" s="5"/>
      <c r="K22" s="5"/>
      <c r="L22" s="5"/>
      <c r="M22" s="5"/>
      <c r="N22" s="5"/>
      <c r="O22" s="5"/>
    </row>
    <row r="23" spans="1:15" ht="15.6" x14ac:dyDescent="0.3">
      <c r="A23" s="23" t="s">
        <v>25</v>
      </c>
      <c r="B23" s="23"/>
      <c r="C23" s="7">
        <f>AVERAGE(C2:C21)</f>
        <v>305456.17499999993</v>
      </c>
      <c r="G23" s="5"/>
      <c r="H23" s="5"/>
      <c r="I23" s="5"/>
      <c r="J23" s="5"/>
      <c r="K23" s="5"/>
      <c r="L23" s="5"/>
      <c r="M23" s="5"/>
      <c r="N23" s="5"/>
      <c r="O23" s="5"/>
    </row>
    <row r="24" spans="1:15" ht="15.6" x14ac:dyDescent="0.3">
      <c r="A24" s="23" t="s">
        <v>26</v>
      </c>
      <c r="B24" s="23"/>
      <c r="C24" s="7">
        <f>STDEV(C2:C21)</f>
        <v>200173.02785470671</v>
      </c>
      <c r="G24" s="5" t="s">
        <v>55</v>
      </c>
      <c r="H24" s="5">
        <f>10^H18</f>
        <v>133409.36163787227</v>
      </c>
      <c r="I24" s="5"/>
      <c r="J24" s="5"/>
      <c r="K24" s="5"/>
      <c r="L24" s="5"/>
      <c r="M24" s="5"/>
      <c r="N24" s="5"/>
      <c r="O24" s="5"/>
    </row>
    <row r="25" spans="1:15" ht="15.6" x14ac:dyDescent="0.3">
      <c r="A25" s="23" t="s">
        <v>27</v>
      </c>
      <c r="B25" s="23"/>
      <c r="C25" s="7">
        <f>C24/C23*100</f>
        <v>65.532486895937453</v>
      </c>
      <c r="G25" s="5" t="s">
        <v>56</v>
      </c>
      <c r="H25" s="5">
        <f>10^H19</f>
        <v>1.0656324487918907</v>
      </c>
      <c r="I25" s="5"/>
      <c r="J25" s="5"/>
      <c r="K25" s="5"/>
      <c r="L25" s="5"/>
      <c r="M25" s="5"/>
      <c r="N25" s="5"/>
      <c r="O25" s="5"/>
    </row>
    <row r="26" spans="1:15" ht="15.6" x14ac:dyDescent="0.3">
      <c r="A26" s="23" t="s">
        <v>28</v>
      </c>
      <c r="B26" s="25"/>
      <c r="C26" s="7">
        <f>RSQ(C2:C21,B2:B21)</f>
        <v>0.47307834168220891</v>
      </c>
      <c r="G26" s="5" t="s">
        <v>57</v>
      </c>
      <c r="H26" s="5">
        <f>(H25-1)*100</f>
        <v>6.5632448791890674</v>
      </c>
      <c r="I26" s="5"/>
      <c r="J26" s="5"/>
      <c r="K26" s="5"/>
      <c r="L26" s="5"/>
      <c r="M26" s="5"/>
      <c r="N26" s="5"/>
      <c r="O26" s="5"/>
    </row>
    <row r="27" spans="1:15" ht="15.6" x14ac:dyDescent="0.3">
      <c r="A27" s="23" t="s">
        <v>29</v>
      </c>
      <c r="B27" s="23"/>
      <c r="C27" s="7">
        <f>C25*SQRT(1-C26)</f>
        <v>47.569619140159077</v>
      </c>
    </row>
  </sheetData>
  <mergeCells count="6">
    <mergeCell ref="A27:B27"/>
    <mergeCell ref="A22:B22"/>
    <mergeCell ref="A23:B23"/>
    <mergeCell ref="A24:B24"/>
    <mergeCell ref="A25:B25"/>
    <mergeCell ref="A26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workbookViewId="0">
      <selection activeCell="E25" sqref="E25"/>
    </sheetView>
  </sheetViews>
  <sheetFormatPr defaultRowHeight="14.4" x14ac:dyDescent="0.3"/>
  <cols>
    <col min="3" max="3" width="21.33203125" customWidth="1"/>
    <col min="7" max="7" width="19.44140625" customWidth="1"/>
    <col min="8" max="8" width="23.44140625" customWidth="1"/>
    <col min="9" max="9" width="21.21875" customWidth="1"/>
    <col min="10" max="10" width="15.6640625" customWidth="1"/>
    <col min="11" max="11" width="17.6640625" customWidth="1"/>
    <col min="12" max="12" width="17.33203125" customWidth="1"/>
    <col min="13" max="13" width="16" customWidth="1"/>
    <col min="14" max="14" width="15.33203125" customWidth="1"/>
    <col min="15" max="15" width="11.33203125" customWidth="1"/>
  </cols>
  <sheetData>
    <row r="1" spans="1:15" ht="15.6" x14ac:dyDescent="0.3">
      <c r="A1" s="14" t="s">
        <v>22</v>
      </c>
      <c r="B1" s="14" t="s">
        <v>23</v>
      </c>
      <c r="C1" s="14" t="s">
        <v>24</v>
      </c>
      <c r="D1" s="15"/>
      <c r="E1" s="14" t="s">
        <v>30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0</v>
      </c>
      <c r="B2" s="5">
        <v>1</v>
      </c>
      <c r="C2" s="10">
        <f>AVERAGE(overall!B2:B4)</f>
        <v>292441.64</v>
      </c>
      <c r="E2" s="5">
        <f>LOG(C2)</f>
        <v>5.4660392107437472</v>
      </c>
      <c r="G2" s="5" t="s">
        <v>31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1" t="s">
        <v>1</v>
      </c>
      <c r="B3" s="5">
        <v>2</v>
      </c>
      <c r="C3" s="11">
        <v>255084.47</v>
      </c>
      <c r="E3" s="5">
        <f t="shared" ref="E3:E11" si="0">LOG(C3)</f>
        <v>5.4066840187877157</v>
      </c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1" t="s">
        <v>2</v>
      </c>
      <c r="B4" s="5">
        <v>3</v>
      </c>
      <c r="C4" s="11">
        <v>170614.39</v>
      </c>
      <c r="E4" s="5">
        <f t="shared" si="0"/>
        <v>5.2320156577461514</v>
      </c>
      <c r="G4" s="16" t="s">
        <v>32</v>
      </c>
      <c r="H4" s="16"/>
      <c r="I4" s="5"/>
      <c r="J4" s="5"/>
      <c r="K4" s="5"/>
      <c r="L4" s="5"/>
      <c r="M4" s="5"/>
      <c r="N4" s="5"/>
      <c r="O4" s="5"/>
    </row>
    <row r="5" spans="1:15" x14ac:dyDescent="0.3">
      <c r="A5" s="1" t="s">
        <v>3</v>
      </c>
      <c r="B5" s="5">
        <v>4</v>
      </c>
      <c r="C5" s="11">
        <v>136880.07999999999</v>
      </c>
      <c r="E5" s="5">
        <f t="shared" si="0"/>
        <v>5.1363402503579154</v>
      </c>
      <c r="G5" s="5" t="s">
        <v>33</v>
      </c>
      <c r="H5" s="5">
        <v>0.10024610066003929</v>
      </c>
      <c r="I5" s="5"/>
      <c r="J5" s="5"/>
      <c r="K5" s="5"/>
      <c r="L5" s="5"/>
      <c r="M5" s="5"/>
      <c r="N5" s="5"/>
      <c r="O5" s="5"/>
    </row>
    <row r="6" spans="1:15" x14ac:dyDescent="0.3">
      <c r="A6" s="1" t="s">
        <v>4</v>
      </c>
      <c r="B6" s="5">
        <v>5</v>
      </c>
      <c r="C6" s="11">
        <v>100130.94</v>
      </c>
      <c r="E6" s="5">
        <f t="shared" si="0"/>
        <v>5.0005682932141795</v>
      </c>
      <c r="G6" s="5" t="s">
        <v>34</v>
      </c>
      <c r="H6" s="5">
        <v>1.0049280697542731E-2</v>
      </c>
      <c r="I6" s="5"/>
      <c r="J6" s="5"/>
      <c r="K6" s="5"/>
      <c r="L6" s="5"/>
      <c r="M6" s="5"/>
      <c r="N6" s="5"/>
      <c r="O6" s="5"/>
    </row>
    <row r="7" spans="1:15" x14ac:dyDescent="0.3">
      <c r="A7" s="1" t="s">
        <v>5</v>
      </c>
      <c r="B7" s="5">
        <v>6</v>
      </c>
      <c r="C7" s="11">
        <v>209010.49</v>
      </c>
      <c r="E7" s="5">
        <f t="shared" si="0"/>
        <v>5.3201680834066964</v>
      </c>
      <c r="G7" s="5" t="s">
        <v>35</v>
      </c>
      <c r="H7" s="5">
        <v>-0.11369455921526443</v>
      </c>
      <c r="I7" s="5"/>
      <c r="J7" s="5"/>
      <c r="K7" s="5"/>
      <c r="L7" s="5"/>
      <c r="M7" s="5"/>
      <c r="N7" s="5"/>
      <c r="O7" s="5"/>
    </row>
    <row r="8" spans="1:15" x14ac:dyDescent="0.3">
      <c r="A8" s="1" t="s">
        <v>6</v>
      </c>
      <c r="B8" s="5">
        <v>7</v>
      </c>
      <c r="C8" s="11">
        <v>174625.19</v>
      </c>
      <c r="E8" s="5">
        <f t="shared" si="0"/>
        <v>5.2421068916542737</v>
      </c>
      <c r="G8" s="5" t="s">
        <v>36</v>
      </c>
      <c r="H8" s="5">
        <v>0.16602072937511514</v>
      </c>
      <c r="I8" s="5"/>
      <c r="J8" s="5"/>
      <c r="K8" s="5"/>
      <c r="L8" s="5"/>
      <c r="M8" s="5"/>
      <c r="N8" s="5"/>
      <c r="O8" s="5"/>
    </row>
    <row r="9" spans="1:15" x14ac:dyDescent="0.3">
      <c r="A9" s="1" t="s">
        <v>7</v>
      </c>
      <c r="B9" s="5">
        <v>8</v>
      </c>
      <c r="C9" s="11">
        <v>202751.35999999999</v>
      </c>
      <c r="E9" s="5">
        <f t="shared" si="0"/>
        <v>5.3069637760201331</v>
      </c>
      <c r="G9" s="5" t="s">
        <v>37</v>
      </c>
      <c r="H9" s="5">
        <v>10</v>
      </c>
      <c r="I9" s="5"/>
      <c r="J9" s="5"/>
      <c r="K9" s="5"/>
      <c r="L9" s="5"/>
      <c r="M9" s="5"/>
      <c r="N9" s="5"/>
      <c r="O9" s="5"/>
    </row>
    <row r="10" spans="1:15" x14ac:dyDescent="0.3">
      <c r="A10" s="1" t="s">
        <v>8</v>
      </c>
      <c r="B10" s="5">
        <v>9</v>
      </c>
      <c r="C10" s="11">
        <v>345276.73</v>
      </c>
      <c r="E10" s="5">
        <f t="shared" si="0"/>
        <v>5.5381673099650479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1" t="s">
        <v>9</v>
      </c>
      <c r="B11" s="5">
        <v>10</v>
      </c>
      <c r="C11" s="11">
        <v>222262.07</v>
      </c>
      <c r="E11" s="5">
        <f t="shared" si="0"/>
        <v>5.3468653547583891</v>
      </c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ht="15.6" x14ac:dyDescent="0.3">
      <c r="A12" s="24" t="s">
        <v>20</v>
      </c>
      <c r="B12" s="24"/>
      <c r="C12" s="7">
        <f>SUM(C2:C11)</f>
        <v>2109077.36</v>
      </c>
      <c r="G12" s="17"/>
      <c r="H12" s="17" t="s">
        <v>42</v>
      </c>
      <c r="I12" s="17" t="s">
        <v>43</v>
      </c>
      <c r="J12" s="17" t="s">
        <v>44</v>
      </c>
      <c r="K12" s="17" t="s">
        <v>45</v>
      </c>
      <c r="L12" s="17" t="s">
        <v>46</v>
      </c>
      <c r="M12" s="5"/>
      <c r="N12" s="5"/>
      <c r="O12" s="5"/>
    </row>
    <row r="13" spans="1:15" ht="15.6" x14ac:dyDescent="0.3">
      <c r="A13" s="23" t="s">
        <v>25</v>
      </c>
      <c r="B13" s="23"/>
      <c r="C13" s="7">
        <f>AVERAGE(C2:C11)</f>
        <v>210907.73599999998</v>
      </c>
      <c r="G13" s="5" t="s">
        <v>39</v>
      </c>
      <c r="H13" s="5">
        <v>1</v>
      </c>
      <c r="I13" s="5">
        <v>2.2383913744519757E-3</v>
      </c>
      <c r="J13" s="5">
        <v>2.2383913744519757E-3</v>
      </c>
      <c r="K13" s="5">
        <v>8.1210351195046909E-2</v>
      </c>
      <c r="L13" s="5">
        <v>0.78290208943261308</v>
      </c>
      <c r="M13" s="5"/>
      <c r="N13" s="5"/>
      <c r="O13" s="5"/>
    </row>
    <row r="14" spans="1:15" ht="15.6" x14ac:dyDescent="0.3">
      <c r="A14" s="23" t="s">
        <v>26</v>
      </c>
      <c r="B14" s="23"/>
      <c r="C14" s="5">
        <f>STDEV(C2:C11)</f>
        <v>72682.723035257368</v>
      </c>
      <c r="G14" s="5" t="s">
        <v>40</v>
      </c>
      <c r="H14" s="5">
        <v>8</v>
      </c>
      <c r="I14" s="5">
        <v>0.22050306065796177</v>
      </c>
      <c r="J14" s="5">
        <v>2.7562882582245221E-2</v>
      </c>
      <c r="K14" s="5"/>
      <c r="L14" s="5"/>
      <c r="M14" s="5"/>
      <c r="N14" s="5"/>
      <c r="O14" s="5"/>
    </row>
    <row r="15" spans="1:15" ht="15.6" x14ac:dyDescent="0.3">
      <c r="A15" s="23" t="s">
        <v>27</v>
      </c>
      <c r="B15" s="23"/>
      <c r="C15" s="13">
        <f>C14/C13*100</f>
        <v>34.46185730961399</v>
      </c>
      <c r="G15" s="5" t="s">
        <v>20</v>
      </c>
      <c r="H15" s="5">
        <v>9</v>
      </c>
      <c r="I15" s="5">
        <v>0.22274145203241374</v>
      </c>
      <c r="J15" s="5"/>
      <c r="K15" s="5"/>
      <c r="L15" s="5"/>
      <c r="M15" s="5"/>
      <c r="N15" s="5"/>
      <c r="O15" s="5"/>
    </row>
    <row r="16" spans="1:15" ht="15.6" x14ac:dyDescent="0.3">
      <c r="A16" s="23" t="s">
        <v>28</v>
      </c>
      <c r="B16" s="25"/>
      <c r="C16" s="18">
        <f>RSQ(C2:C11,B2:B11)</f>
        <v>9.3263316538862336E-3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ht="15.6" x14ac:dyDescent="0.3">
      <c r="A17" s="23" t="s">
        <v>29</v>
      </c>
      <c r="B17" s="23"/>
      <c r="C17" s="13">
        <f>C15*SQRT(1-C16)</f>
        <v>34.300779508254244</v>
      </c>
      <c r="G17" s="17"/>
      <c r="H17" s="17" t="s">
        <v>47</v>
      </c>
      <c r="I17" s="17" t="s">
        <v>36</v>
      </c>
      <c r="J17" s="17" t="s">
        <v>48</v>
      </c>
      <c r="K17" s="17" t="s">
        <v>49</v>
      </c>
      <c r="L17" s="17" t="s">
        <v>50</v>
      </c>
      <c r="M17" s="17" t="s">
        <v>51</v>
      </c>
      <c r="N17" s="17" t="s">
        <v>52</v>
      </c>
      <c r="O17" s="17" t="s">
        <v>53</v>
      </c>
    </row>
    <row r="18" spans="1:15" x14ac:dyDescent="0.3">
      <c r="G18" s="5" t="s">
        <v>41</v>
      </c>
      <c r="H18" s="5">
        <v>5.2709432633379381</v>
      </c>
      <c r="I18" s="5">
        <v>0.1134137493357005</v>
      </c>
      <c r="J18" s="5">
        <v>46.475346192251706</v>
      </c>
      <c r="K18" s="5">
        <v>5.0775799186337403E-11</v>
      </c>
      <c r="L18" s="5">
        <v>5.0094106883808038</v>
      </c>
      <c r="M18" s="5">
        <v>5.5324758382950723</v>
      </c>
      <c r="N18" s="5">
        <v>5.0094106883808038</v>
      </c>
      <c r="O18" s="5">
        <v>5.5324758382950723</v>
      </c>
    </row>
    <row r="19" spans="1:15" x14ac:dyDescent="0.3">
      <c r="G19" s="5" t="s">
        <v>54</v>
      </c>
      <c r="H19" s="5">
        <v>5.2088402413612281E-3</v>
      </c>
      <c r="I19" s="5">
        <v>1.8278280730185135E-2</v>
      </c>
      <c r="J19" s="5">
        <v>0.28497429918336031</v>
      </c>
      <c r="K19" s="5">
        <v>0.78290208943261252</v>
      </c>
      <c r="L19" s="5">
        <v>-3.6940950706868335E-2</v>
      </c>
      <c r="M19" s="5">
        <v>4.7358631189590793E-2</v>
      </c>
      <c r="N19" s="5">
        <v>-3.6940950706868335E-2</v>
      </c>
      <c r="O19" s="5">
        <v>4.7358631189590793E-2</v>
      </c>
    </row>
    <row r="20" spans="1:15" x14ac:dyDescent="0.3">
      <c r="G20" s="5"/>
      <c r="H20" s="5"/>
      <c r="I20" s="5"/>
      <c r="J20" s="5"/>
      <c r="K20" s="5"/>
      <c r="L20" s="5"/>
      <c r="M20" s="5"/>
      <c r="N20" s="5"/>
      <c r="O20" s="5"/>
    </row>
    <row r="22" spans="1:15" x14ac:dyDescent="0.3">
      <c r="G22" s="5" t="s">
        <v>55</v>
      </c>
      <c r="H22" s="5">
        <f>10^H18</f>
        <v>186613.58810659932</v>
      </c>
    </row>
    <row r="23" spans="1:15" x14ac:dyDescent="0.3">
      <c r="G23" s="5" t="s">
        <v>56</v>
      </c>
      <c r="H23" s="5">
        <f>10^H19</f>
        <v>1.0120660119034439</v>
      </c>
    </row>
    <row r="24" spans="1:15" x14ac:dyDescent="0.3">
      <c r="G24" s="5" t="s">
        <v>57</v>
      </c>
      <c r="H24" s="5">
        <f>(H23-1)*100</f>
        <v>1.2066011903443918</v>
      </c>
    </row>
  </sheetData>
  <mergeCells count="6">
    <mergeCell ref="A17:B17"/>
    <mergeCell ref="A12:B12"/>
    <mergeCell ref="A13:B13"/>
    <mergeCell ref="A14:B14"/>
    <mergeCell ref="A15:B15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topLeftCell="A12" workbookViewId="0">
      <selection activeCell="F26" sqref="F26"/>
    </sheetView>
  </sheetViews>
  <sheetFormatPr defaultRowHeight="14.4" x14ac:dyDescent="0.3"/>
  <cols>
    <col min="3" max="3" width="22.77734375" customWidth="1"/>
    <col min="7" max="7" width="21" customWidth="1"/>
    <col min="8" max="8" width="28.109375" customWidth="1"/>
    <col min="9" max="9" width="22.77734375" customWidth="1"/>
    <col min="10" max="10" width="18.109375" customWidth="1"/>
    <col min="11" max="11" width="20.109375" customWidth="1"/>
    <col min="12" max="12" width="19.44140625" customWidth="1"/>
    <col min="13" max="13" width="18.6640625" customWidth="1"/>
    <col min="14" max="14" width="18" customWidth="1"/>
    <col min="15" max="15" width="15.44140625" customWidth="1"/>
  </cols>
  <sheetData>
    <row r="1" spans="1:15" x14ac:dyDescent="0.3">
      <c r="A1" t="s">
        <v>22</v>
      </c>
      <c r="B1" s="5" t="s">
        <v>23</v>
      </c>
      <c r="C1" t="s">
        <v>58</v>
      </c>
      <c r="E1" s="5" t="s">
        <v>30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2" t="s">
        <v>10</v>
      </c>
      <c r="B2" s="5">
        <v>11</v>
      </c>
      <c r="C2" s="19">
        <v>256051.91</v>
      </c>
      <c r="E2" s="5">
        <f>LOG(C2)</f>
        <v>5.4083280197695816</v>
      </c>
      <c r="G2" s="5" t="s">
        <v>31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12" t="s">
        <v>11</v>
      </c>
      <c r="B3" s="5">
        <v>12</v>
      </c>
      <c r="C3" s="19">
        <v>136968.03</v>
      </c>
      <c r="E3" s="5">
        <f t="shared" ref="E3:E11" si="0">LOG(C3)</f>
        <v>5.1366192093837535</v>
      </c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12" t="s">
        <v>12</v>
      </c>
      <c r="B4" s="5">
        <v>13</v>
      </c>
      <c r="C4" s="19">
        <v>180193.86</v>
      </c>
      <c r="E4" s="5">
        <f t="shared" si="0"/>
        <v>5.255739988565634</v>
      </c>
      <c r="G4" s="16" t="s">
        <v>32</v>
      </c>
      <c r="H4" s="16"/>
      <c r="I4" s="5"/>
      <c r="J4" s="5"/>
      <c r="K4" s="5"/>
      <c r="L4" s="5"/>
      <c r="M4" s="5"/>
      <c r="N4" s="5"/>
      <c r="O4" s="5"/>
    </row>
    <row r="5" spans="1:15" x14ac:dyDescent="0.3">
      <c r="A5" s="12" t="s">
        <v>13</v>
      </c>
      <c r="B5" s="5">
        <v>14</v>
      </c>
      <c r="C5" s="19">
        <v>289617.95</v>
      </c>
      <c r="E5" s="5">
        <f t="shared" si="0"/>
        <v>5.4618254751506861</v>
      </c>
      <c r="G5" s="5" t="s">
        <v>33</v>
      </c>
      <c r="H5" s="5">
        <v>0.8912682599456051</v>
      </c>
      <c r="I5" s="5"/>
      <c r="J5" s="5"/>
      <c r="K5" s="5"/>
      <c r="L5" s="5"/>
      <c r="M5" s="5"/>
      <c r="N5" s="5"/>
      <c r="O5" s="5"/>
    </row>
    <row r="6" spans="1:15" x14ac:dyDescent="0.3">
      <c r="A6" s="12" t="s">
        <v>14</v>
      </c>
      <c r="B6" s="5">
        <v>15</v>
      </c>
      <c r="C6" s="19">
        <v>235699.03</v>
      </c>
      <c r="E6" s="5">
        <f t="shared" si="0"/>
        <v>5.3723577952247297</v>
      </c>
      <c r="G6" s="5" t="s">
        <v>34</v>
      </c>
      <c r="H6" s="5">
        <v>0.79435911118646663</v>
      </c>
      <c r="I6" s="5"/>
      <c r="J6" s="5"/>
      <c r="K6" s="5"/>
      <c r="L6" s="5"/>
      <c r="M6" s="5"/>
      <c r="N6" s="5"/>
      <c r="O6" s="5"/>
    </row>
    <row r="7" spans="1:15" x14ac:dyDescent="0.3">
      <c r="A7" s="12" t="s">
        <v>15</v>
      </c>
      <c r="B7" s="5">
        <v>16</v>
      </c>
      <c r="C7" s="19">
        <v>296169.8</v>
      </c>
      <c r="E7" s="5">
        <f t="shared" si="0"/>
        <v>5.4715407720716689</v>
      </c>
      <c r="G7" s="5" t="s">
        <v>35</v>
      </c>
      <c r="H7" s="5">
        <v>0.76865400008477491</v>
      </c>
      <c r="I7" s="5"/>
      <c r="J7" s="5"/>
      <c r="K7" s="5"/>
      <c r="L7" s="5"/>
      <c r="M7" s="5"/>
      <c r="N7" s="5"/>
      <c r="O7" s="5"/>
    </row>
    <row r="8" spans="1:15" x14ac:dyDescent="0.3">
      <c r="A8" s="12" t="s">
        <v>16</v>
      </c>
      <c r="B8" s="5">
        <v>17</v>
      </c>
      <c r="C8" s="19">
        <v>410375.86</v>
      </c>
      <c r="E8" s="5">
        <f t="shared" si="0"/>
        <v>5.6131818058631673</v>
      </c>
      <c r="G8" s="5" t="s">
        <v>36</v>
      </c>
      <c r="H8" s="5">
        <v>0.12639467610002253</v>
      </c>
      <c r="I8" s="5"/>
      <c r="J8" s="5"/>
      <c r="K8" s="5"/>
      <c r="L8" s="5"/>
      <c r="M8" s="5"/>
      <c r="N8" s="5"/>
      <c r="O8" s="5"/>
    </row>
    <row r="9" spans="1:15" x14ac:dyDescent="0.3">
      <c r="A9" s="12" t="s">
        <v>17</v>
      </c>
      <c r="B9" s="5">
        <v>18</v>
      </c>
      <c r="C9" s="19">
        <v>775024.48</v>
      </c>
      <c r="E9" s="5">
        <f t="shared" si="0"/>
        <v>5.8893154203914859</v>
      </c>
      <c r="G9" s="5" t="s">
        <v>37</v>
      </c>
      <c r="H9" s="5">
        <v>10</v>
      </c>
      <c r="I9" s="5"/>
      <c r="J9" s="5"/>
      <c r="K9" s="5"/>
      <c r="L9" s="5"/>
      <c r="M9" s="5"/>
      <c r="N9" s="5"/>
      <c r="O9" s="5"/>
    </row>
    <row r="10" spans="1:15" x14ac:dyDescent="0.3">
      <c r="A10" s="12" t="s">
        <v>18</v>
      </c>
      <c r="B10" s="5">
        <v>19</v>
      </c>
      <c r="C10" s="19">
        <v>626653.80000000005</v>
      </c>
      <c r="E10" s="5">
        <f t="shared" si="0"/>
        <v>5.7970276775551346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12" t="s">
        <v>19</v>
      </c>
      <c r="B11" s="5">
        <v>20</v>
      </c>
      <c r="C11" s="20">
        <v>793291.42</v>
      </c>
      <c r="E11" s="5">
        <f t="shared" si="0"/>
        <v>5.8994327571138525</v>
      </c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ht="15.6" x14ac:dyDescent="0.3">
      <c r="A12" s="24" t="s">
        <v>20</v>
      </c>
      <c r="B12" s="24"/>
      <c r="C12" s="7">
        <f>SUM(C2:C11)</f>
        <v>4000046.1399999997</v>
      </c>
      <c r="G12" s="17"/>
      <c r="H12" s="17" t="s">
        <v>42</v>
      </c>
      <c r="I12" s="17" t="s">
        <v>43</v>
      </c>
      <c r="J12" s="17" t="s">
        <v>44</v>
      </c>
      <c r="K12" s="17" t="s">
        <v>45</v>
      </c>
      <c r="L12" s="17" t="s">
        <v>46</v>
      </c>
      <c r="M12" s="5"/>
      <c r="N12" s="5"/>
      <c r="O12" s="5"/>
    </row>
    <row r="13" spans="1:15" ht="15.6" x14ac:dyDescent="0.3">
      <c r="A13" s="23" t="s">
        <v>25</v>
      </c>
      <c r="B13" s="23"/>
      <c r="C13" s="7">
        <f>AVERAGE(C2:C11)</f>
        <v>400004.61399999994</v>
      </c>
      <c r="G13" s="5" t="s">
        <v>39</v>
      </c>
      <c r="H13" s="5">
        <v>1</v>
      </c>
      <c r="I13" s="5">
        <v>0.49369071403004372</v>
      </c>
      <c r="J13" s="5">
        <v>0.49369071403004372</v>
      </c>
      <c r="K13" s="5">
        <v>30.902769026903343</v>
      </c>
      <c r="L13" s="5">
        <v>5.3527982244769973E-4</v>
      </c>
      <c r="M13" s="5"/>
      <c r="N13" s="5"/>
      <c r="O13" s="5"/>
    </row>
    <row r="14" spans="1:15" ht="15.6" x14ac:dyDescent="0.3">
      <c r="A14" s="23" t="s">
        <v>26</v>
      </c>
      <c r="B14" s="23"/>
      <c r="C14" s="5">
        <f>STDEV(C2:C11)</f>
        <v>243808.31043460462</v>
      </c>
      <c r="G14" s="5" t="s">
        <v>40</v>
      </c>
      <c r="H14" s="5">
        <v>8</v>
      </c>
      <c r="I14" s="5">
        <v>0.12780491317143686</v>
      </c>
      <c r="J14" s="5">
        <v>1.5975614146429607E-2</v>
      </c>
      <c r="K14" s="5"/>
      <c r="L14" s="5"/>
      <c r="M14" s="5"/>
      <c r="N14" s="5"/>
      <c r="O14" s="5"/>
    </row>
    <row r="15" spans="1:15" ht="15.6" x14ac:dyDescent="0.3">
      <c r="A15" s="23" t="s">
        <v>27</v>
      </c>
      <c r="B15" s="23"/>
      <c r="C15" s="13">
        <f>C14/C13*100</f>
        <v>60.951374534545913</v>
      </c>
      <c r="G15" s="5" t="s">
        <v>20</v>
      </c>
      <c r="H15" s="5">
        <v>9</v>
      </c>
      <c r="I15" s="5">
        <v>0.62149562720148055</v>
      </c>
      <c r="J15" s="5"/>
      <c r="K15" s="5"/>
      <c r="L15" s="5"/>
      <c r="M15" s="5"/>
      <c r="N15" s="5"/>
      <c r="O15" s="5"/>
    </row>
    <row r="16" spans="1:15" ht="15.6" x14ac:dyDescent="0.3">
      <c r="A16" s="23" t="s">
        <v>28</v>
      </c>
      <c r="B16" s="25"/>
      <c r="C16" s="13">
        <f>RSQ(C2:C11,B2:B11)</f>
        <v>0.77007448565374803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ht="15.6" x14ac:dyDescent="0.3">
      <c r="A17" s="23" t="s">
        <v>29</v>
      </c>
      <c r="B17" s="23"/>
      <c r="C17" s="13">
        <f>C15*SQRT(1-C16)</f>
        <v>29.226518674615512</v>
      </c>
      <c r="G17" s="17"/>
      <c r="H17" s="17" t="s">
        <v>47</v>
      </c>
      <c r="I17" s="17" t="s">
        <v>36</v>
      </c>
      <c r="J17" s="17" t="s">
        <v>48</v>
      </c>
      <c r="K17" s="17" t="s">
        <v>49</v>
      </c>
      <c r="L17" s="17" t="s">
        <v>50</v>
      </c>
      <c r="M17" s="17" t="s">
        <v>51</v>
      </c>
      <c r="N17" s="17" t="s">
        <v>52</v>
      </c>
      <c r="O17" s="17" t="s">
        <v>53</v>
      </c>
    </row>
    <row r="18" spans="1:15" x14ac:dyDescent="0.3">
      <c r="G18" s="5" t="s">
        <v>41</v>
      </c>
      <c r="H18" s="5">
        <v>4.3315009457945308</v>
      </c>
      <c r="I18" s="5">
        <v>0.21936382164596863</v>
      </c>
      <c r="J18" s="5">
        <v>19.745739809297916</v>
      </c>
      <c r="K18" s="5">
        <v>4.5047465044976052E-8</v>
      </c>
      <c r="L18" s="5">
        <v>3.8256470659647377</v>
      </c>
      <c r="M18" s="5">
        <v>4.837354825624324</v>
      </c>
      <c r="N18" s="5">
        <v>3.8256470659647377</v>
      </c>
      <c r="O18" s="5">
        <v>4.837354825624324</v>
      </c>
    </row>
    <row r="19" spans="1:15" x14ac:dyDescent="0.3">
      <c r="G19" s="5" t="s">
        <v>54</v>
      </c>
      <c r="H19" s="5">
        <v>7.7357157826737924E-2</v>
      </c>
      <c r="I19" s="5">
        <v>1.3915595849100765E-2</v>
      </c>
      <c r="J19" s="5">
        <v>5.559025906298996</v>
      </c>
      <c r="K19" s="5">
        <v>5.3527982244769778E-4</v>
      </c>
      <c r="L19" s="5">
        <v>4.5267736254881619E-2</v>
      </c>
      <c r="M19" s="5">
        <v>0.10944657939859423</v>
      </c>
      <c r="N19" s="5">
        <v>4.5267736254881619E-2</v>
      </c>
      <c r="O19" s="5">
        <v>0.10944657939859423</v>
      </c>
    </row>
    <row r="21" spans="1:15" x14ac:dyDescent="0.3">
      <c r="G21" s="5" t="s">
        <v>59</v>
      </c>
      <c r="H21" s="5">
        <f>10^H18</f>
        <v>21453.637879246406</v>
      </c>
    </row>
    <row r="22" spans="1:15" x14ac:dyDescent="0.3">
      <c r="G22" s="5" t="s">
        <v>56</v>
      </c>
      <c r="H22" s="5">
        <f>10^H19</f>
        <v>1.1949704277783011</v>
      </c>
    </row>
    <row r="23" spans="1:15" x14ac:dyDescent="0.3">
      <c r="G23" s="5" t="s">
        <v>57</v>
      </c>
      <c r="H23" s="5">
        <f>(H22-1)*100</f>
        <v>19.49704277783011</v>
      </c>
    </row>
  </sheetData>
  <mergeCells count="6">
    <mergeCell ref="A17:B17"/>
    <mergeCell ref="A12:B12"/>
    <mergeCell ref="A13:B13"/>
    <mergeCell ref="A14:B14"/>
    <mergeCell ref="A15:B15"/>
    <mergeCell ref="A16:B1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7ED5-A224-4497-97A2-635A762C0634}">
  <dimension ref="A1:I5"/>
  <sheetViews>
    <sheetView tabSelected="1" workbookViewId="0">
      <selection activeCell="J7" sqref="J7"/>
    </sheetView>
  </sheetViews>
  <sheetFormatPr defaultRowHeight="14.4" x14ac:dyDescent="0.3"/>
  <cols>
    <col min="1" max="1" width="11.109375" customWidth="1"/>
    <col min="2" max="2" width="11.6640625" bestFit="1" customWidth="1"/>
    <col min="3" max="4" width="10.109375" bestFit="1" customWidth="1"/>
    <col min="8" max="8" width="13.5546875" customWidth="1"/>
    <col min="9" max="9" width="13.6640625" customWidth="1"/>
  </cols>
  <sheetData>
    <row r="1" spans="1:9" x14ac:dyDescent="0.3">
      <c r="A1" s="26" t="s">
        <v>63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1" t="s">
        <v>60</v>
      </c>
      <c r="B2" s="21" t="s">
        <v>61</v>
      </c>
      <c r="C2" s="21" t="s">
        <v>25</v>
      </c>
      <c r="D2" s="21" t="s">
        <v>26</v>
      </c>
      <c r="E2" s="21" t="s">
        <v>27</v>
      </c>
      <c r="F2" s="21" t="s">
        <v>28</v>
      </c>
      <c r="G2" s="21" t="s">
        <v>62</v>
      </c>
      <c r="H2" s="21" t="s">
        <v>57</v>
      </c>
      <c r="I2" s="21" t="s">
        <v>69</v>
      </c>
    </row>
    <row r="3" spans="1:9" x14ac:dyDescent="0.3">
      <c r="A3" s="21" t="s">
        <v>64</v>
      </c>
      <c r="B3" s="8">
        <f>'2005-15'!C12</f>
        <v>2109077.36</v>
      </c>
      <c r="C3" s="8">
        <f>'2015-25'!C13</f>
        <v>400004.61399999994</v>
      </c>
      <c r="D3" s="8">
        <f>'2015-25'!C13</f>
        <v>400004.61399999994</v>
      </c>
      <c r="E3" s="9">
        <f>'2005-15'!C15</f>
        <v>34.46185730961399</v>
      </c>
      <c r="F3">
        <f>'2005-15'!C16</f>
        <v>9.3263316538862336E-3</v>
      </c>
      <c r="G3" s="9">
        <f>'2005-15'!C17</f>
        <v>34.300779508254244</v>
      </c>
      <c r="H3" s="9">
        <f>'2005-15'!H24</f>
        <v>1.2066011903443918</v>
      </c>
      <c r="I3" s="22">
        <v>1.21</v>
      </c>
    </row>
    <row r="4" spans="1:9" x14ac:dyDescent="0.3">
      <c r="A4" s="21" t="s">
        <v>65</v>
      </c>
      <c r="B4" s="8">
        <f>'2015-25'!C12</f>
        <v>4000046.1399999997</v>
      </c>
      <c r="C4" s="8">
        <f>'2005-15'!C13</f>
        <v>210907.73599999998</v>
      </c>
      <c r="D4">
        <f>'2005-15'!C14</f>
        <v>72682.723035257368</v>
      </c>
      <c r="E4" s="9">
        <f>'2015-25'!C15</f>
        <v>60.951374534545913</v>
      </c>
      <c r="F4" s="9">
        <f>'2015-25'!C16</f>
        <v>0.77007448565374803</v>
      </c>
      <c r="G4" s="9">
        <f>'2015-25'!C17</f>
        <v>29.226518674615512</v>
      </c>
      <c r="H4" s="9">
        <f>'2015-25'!H23</f>
        <v>19.49704277783011</v>
      </c>
      <c r="I4" s="22" t="s">
        <v>67</v>
      </c>
    </row>
    <row r="5" spans="1:9" x14ac:dyDescent="0.3">
      <c r="A5" s="21" t="s">
        <v>66</v>
      </c>
      <c r="B5" s="8">
        <f>'2005-25'!C22</f>
        <v>6109123.4999999991</v>
      </c>
      <c r="C5" s="8">
        <f>'2005-25'!C23</f>
        <v>305456.17499999993</v>
      </c>
      <c r="D5" s="8">
        <f>'2005-25'!C24</f>
        <v>200173.02785470671</v>
      </c>
      <c r="E5" s="8">
        <f>'2005-25'!C25</f>
        <v>65.532486895937453</v>
      </c>
      <c r="F5" s="8">
        <f>'2005-25'!C26</f>
        <v>0.47307834168220891</v>
      </c>
      <c r="G5" s="8">
        <f>'2005-25'!C27</f>
        <v>47.569619140159077</v>
      </c>
      <c r="H5" s="9">
        <f>'2005-25'!H26</f>
        <v>6.5632448791890674</v>
      </c>
      <c r="I5" s="22" t="s">
        <v>68</v>
      </c>
    </row>
  </sheetData>
  <mergeCells count="1">
    <mergeCell ref="A1:I1"/>
  </mergeCells>
  <pageMargins left="0.7" right="0.7" top="0.75" bottom="0.75" header="0.3" footer="0.3"/>
  <ignoredErrors>
    <ignoredError sqref="H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2005-25</vt:lpstr>
      <vt:lpstr>2005-15</vt:lpstr>
      <vt:lpstr>2015-25</vt:lpstr>
      <vt:lpstr>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Shegokar</dc:creator>
  <cp:lastModifiedBy>Mayur Shegokar</cp:lastModifiedBy>
  <dcterms:created xsi:type="dcterms:W3CDTF">2026-01-30T12:15:52Z</dcterms:created>
  <dcterms:modified xsi:type="dcterms:W3CDTF">2026-02-02T14:52:05Z</dcterms:modified>
</cp:coreProperties>
</file>